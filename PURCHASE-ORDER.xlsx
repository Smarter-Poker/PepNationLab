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Order" sheetId="1" state="visible" r:id="rId3"/>
    <sheet name="On-Demand (Not Pre-Stocked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<sst xmlns="http://schemas.openxmlformats.org/spreadsheetml/2006/main" count="468" uniqueCount="225">
  <si>
    <t xml:space="preserve">PepNationLab — Opening Purchase Order (20 SKUs, Same-Day Ship)</t>
  </si>
  <si>
    <t xml:space="preserve">Supplier: ______________________    PO Date: ____________    Ship To: PepNationLab    Terms: ____________    Lead time: 10-15 days</t>
  </si>
  <si>
    <t xml:space="preserve">20 best-selling peptides &amp; stacks stocked 10 vials each (supplier MOQ) for maximum same-day-ship variety across every category. BAC water stocked to cover every peptide vial ~1:1. Everything else is On-Demand (next tab). REORDER POINT = when on-hand hits this, reorder the Reorder Qty. All items Research Use Only. Costs = catalog base_cost.</t>
  </si>
  <si>
    <t xml:space="preserve">SKU</t>
  </si>
  <si>
    <t xml:space="preserve">Product Title</t>
  </si>
  <si>
    <t xml:space="preserve">Size</t>
  </si>
  <si>
    <t xml:space="preserve">Category</t>
  </si>
  <si>
    <t xml:space="preserve">Unit Cost</t>
  </si>
  <si>
    <t xml:space="preserve">Order Qty</t>
  </si>
  <si>
    <t xml:space="preserve">Reorder Point</t>
  </si>
  <si>
    <t xml:space="preserve">Reorder Qty</t>
  </si>
  <si>
    <t xml:space="preserve">Line Total</t>
  </si>
  <si>
    <t xml:space="preserve">TR10</t>
  </si>
  <si>
    <t xml:space="preserve">Tirzepatide</t>
  </si>
  <si>
    <t xml:space="preserve">10 mg</t>
  </si>
  <si>
    <t xml:space="preserve">GLP-1 / Metabolic</t>
  </si>
  <si>
    <t xml:space="preserve">SM10</t>
  </si>
  <si>
    <t xml:space="preserve">Semaglutide</t>
  </si>
  <si>
    <t xml:space="preserve">RT10</t>
  </si>
  <si>
    <t xml:space="preserve">Retatrutide</t>
  </si>
  <si>
    <t xml:space="preserve">CGL5</t>
  </si>
  <si>
    <t xml:space="preserve">Cagrilintide</t>
  </si>
  <si>
    <t xml:space="preserve">5 mg</t>
  </si>
  <si>
    <t xml:space="preserve">MS10</t>
  </si>
  <si>
    <t xml:space="preserve">MOTS-C</t>
  </si>
  <si>
    <t xml:space="preserve">BC10</t>
  </si>
  <si>
    <t xml:space="preserve">BPC 157</t>
  </si>
  <si>
    <t xml:space="preserve">Healing &amp; Recovery</t>
  </si>
  <si>
    <t xml:space="preserve">BT10</t>
  </si>
  <si>
    <t xml:space="preserve">TB500 (Thymosin B4)</t>
  </si>
  <si>
    <t xml:space="preserve">IP10</t>
  </si>
  <si>
    <t xml:space="preserve">Ipamorelin</t>
  </si>
  <si>
    <t xml:space="preserve">GH / Performance</t>
  </si>
  <si>
    <t xml:space="preserve">CND5</t>
  </si>
  <si>
    <t xml:space="preserve">CJC-1295 Without DAC</t>
  </si>
  <si>
    <t xml:space="preserve">TSM10</t>
  </si>
  <si>
    <t xml:space="preserve">Tesamorelin</t>
  </si>
  <si>
    <t xml:space="preserve">CU</t>
  </si>
  <si>
    <t xml:space="preserve">GHK-CU</t>
  </si>
  <si>
    <t xml:space="preserve">50 mg</t>
  </si>
  <si>
    <t xml:space="preserve">Skin &amp; Cosmetic</t>
  </si>
  <si>
    <t xml:space="preserve">NJ500</t>
  </si>
  <si>
    <t xml:space="preserve">NAD+</t>
  </si>
  <si>
    <t xml:space="preserve">500 mg</t>
  </si>
  <si>
    <t xml:space="preserve">Nootropic / Wellness</t>
  </si>
  <si>
    <t xml:space="preserve">SMO10</t>
  </si>
  <si>
    <t xml:space="preserve">Sermorelin Acetate</t>
  </si>
  <si>
    <t xml:space="preserve">XA10</t>
  </si>
  <si>
    <t xml:space="preserve">Semax</t>
  </si>
  <si>
    <t xml:space="preserve">P41</t>
  </si>
  <si>
    <t xml:space="preserve">PT-141</t>
  </si>
  <si>
    <t xml:space="preserve">Sexual Health &amp; Hormones</t>
  </si>
  <si>
    <t xml:space="preserve">BB20</t>
  </si>
  <si>
    <t xml:space="preserve">The Wolverine Stack (BPC 10 + TB 10)</t>
  </si>
  <si>
    <t xml:space="preserve">10+10 mg</t>
  </si>
  <si>
    <t xml:space="preserve">Stacks</t>
  </si>
  <si>
    <t xml:space="preserve">CP10</t>
  </si>
  <si>
    <t xml:space="preserve">GH Synergy Stack (CJC 5 + IPA 5)</t>
  </si>
  <si>
    <t xml:space="preserve">5+5 mg</t>
  </si>
  <si>
    <t xml:space="preserve">BBG70</t>
  </si>
  <si>
    <t xml:space="preserve">Glow Stack (TB10 + BPC10 + GHK50)</t>
  </si>
  <si>
    <t xml:space="preserve">70 mg</t>
  </si>
  <si>
    <t xml:space="preserve">K80</t>
  </si>
  <si>
    <t xml:space="preserve">KLOW Stack (TB10+BPC10+GHK50+KPV10)</t>
  </si>
  <si>
    <t xml:space="preserve">80 mg</t>
  </si>
  <si>
    <t xml:space="preserve">CS10</t>
  </si>
  <si>
    <t xml:space="preserve">Appetite Crusher Stack (Cagri 5 + Sema 5)</t>
  </si>
  <si>
    <t xml:space="preserve">BA3</t>
  </si>
  <si>
    <t xml:space="preserve">BAC Water</t>
  </si>
  <si>
    <t xml:space="preserve">3 ml</t>
  </si>
  <si>
    <t xml:space="preserve">Reconstitution</t>
  </si>
  <si>
    <t xml:space="preserve">BA10</t>
  </si>
  <si>
    <t xml:space="preserve">10 ml</t>
  </si>
  <si>
    <t xml:space="preserve">AA10</t>
  </si>
  <si>
    <t xml:space="preserve">Acetic Acid 0.6%</t>
  </si>
  <si>
    <t xml:space="preserve">TOTALS</t>
  </si>
  <si>
    <t xml:space="preserve">Grand Total →</t>
  </si>
  <si>
    <t xml:space="preserve">Peptide/stack products stocked:</t>
  </si>
  <si>
    <t xml:space="preserve">Peptide/stack vials: 200   |   BAC water vials: 210 (covers every peptide ~1:1)</t>
  </si>
  <si>
    <t xml:space="preserve">On-Demand Items — Not Pre-Stocked</t>
  </si>
  <si>
    <t xml:space="preserve">Everything not in the 20-SKU stock list. Supplier MOQ is 10 vials per size, so these aren't pre-bought (and can't be single-unit drop-shipped). Per item: (A) leave listed and let the FIRST order trigger a 10-vial buy (ship 1, stock 9), or (B) mark out-of-stock until you bring it in. Promote any item to the Purchase Order tab once it proves &gt;=10 units of demand.</t>
  </si>
  <si>
    <t xml:space="preserve">CD5</t>
  </si>
  <si>
    <t xml:space="preserve">CJC-1295 With DAC</t>
  </si>
  <si>
    <t xml:space="preserve">CND10</t>
  </si>
  <si>
    <t xml:space="preserve">FN1</t>
  </si>
  <si>
    <t xml:space="preserve">Follistatin</t>
  </si>
  <si>
    <t xml:space="preserve">1 mg</t>
  </si>
  <si>
    <t xml:space="preserve">G210</t>
  </si>
  <si>
    <t xml:space="preserve">GHRP-2 Acetate</t>
  </si>
  <si>
    <t xml:space="preserve">G25</t>
  </si>
  <si>
    <t xml:space="preserve">G610</t>
  </si>
  <si>
    <t xml:space="preserve">GHRP-6 Acetate</t>
  </si>
  <si>
    <t xml:space="preserve">G65</t>
  </si>
  <si>
    <t xml:space="preserve">FR5</t>
  </si>
  <si>
    <t xml:space="preserve">HGH Fragment 176-191</t>
  </si>
  <si>
    <t xml:space="preserve">G75</t>
  </si>
  <si>
    <t xml:space="preserve">HMG</t>
  </si>
  <si>
    <t xml:space="preserve">75 iu</t>
  </si>
  <si>
    <t xml:space="preserve">HX5</t>
  </si>
  <si>
    <t xml:space="preserve">Hexarelin Acetate</t>
  </si>
  <si>
    <t xml:space="preserve">IG01</t>
  </si>
  <si>
    <t xml:space="preserve">IGF-1LR3</t>
  </si>
  <si>
    <t xml:space="preserve">0.1 mg</t>
  </si>
  <si>
    <t xml:space="preserve">IG1</t>
  </si>
  <si>
    <t xml:space="preserve">IP5</t>
  </si>
  <si>
    <t xml:space="preserve">SMO5</t>
  </si>
  <si>
    <t xml:space="preserve">TSM20</t>
  </si>
  <si>
    <t xml:space="preserve">20 mg</t>
  </si>
  <si>
    <t xml:space="preserve">TSM5</t>
  </si>
  <si>
    <t xml:space="preserve">5AM</t>
  </si>
  <si>
    <t xml:space="preserve">5-Amino-1MQ</t>
  </si>
  <si>
    <t xml:space="preserve">50AM</t>
  </si>
  <si>
    <t xml:space="preserve">AR50</t>
  </si>
  <si>
    <t xml:space="preserve">AICAR</t>
  </si>
  <si>
    <t xml:space="preserve">10AD</t>
  </si>
  <si>
    <t xml:space="preserve">AOD9604</t>
  </si>
  <si>
    <t xml:space="preserve">5AD</t>
  </si>
  <si>
    <t xml:space="preserve">CGL10</t>
  </si>
  <si>
    <t xml:space="preserve">MS40</t>
  </si>
  <si>
    <t xml:space="preserve">40 mg</t>
  </si>
  <si>
    <t xml:space="preserve">RT15</t>
  </si>
  <si>
    <t xml:space="preserve">15 mg</t>
  </si>
  <si>
    <t xml:space="preserve">RT20</t>
  </si>
  <si>
    <t xml:space="preserve">RT30</t>
  </si>
  <si>
    <t xml:space="preserve">30 mg</t>
  </si>
  <si>
    <t xml:space="preserve">RT40</t>
  </si>
  <si>
    <t xml:space="preserve">RT5</t>
  </si>
  <si>
    <t xml:space="preserve">RT50</t>
  </si>
  <si>
    <t xml:space="preserve">RT60</t>
  </si>
  <si>
    <t xml:space="preserve">60 mg</t>
  </si>
  <si>
    <t xml:space="preserve">SM15</t>
  </si>
  <si>
    <t xml:space="preserve">SM20</t>
  </si>
  <si>
    <t xml:space="preserve">SM30</t>
  </si>
  <si>
    <t xml:space="preserve">SM5</t>
  </si>
  <si>
    <t xml:space="preserve">SUR10</t>
  </si>
  <si>
    <t xml:space="preserve">Survodutide</t>
  </si>
  <si>
    <t xml:space="preserve">TR100</t>
  </si>
  <si>
    <t xml:space="preserve">100 mg</t>
  </si>
  <si>
    <t xml:space="preserve">TR120</t>
  </si>
  <si>
    <t xml:space="preserve">120 mg</t>
  </si>
  <si>
    <t xml:space="preserve">TR15</t>
  </si>
  <si>
    <t xml:space="preserve">TR20</t>
  </si>
  <si>
    <t xml:space="preserve">TR30</t>
  </si>
  <si>
    <t xml:space="preserve">TR40</t>
  </si>
  <si>
    <t xml:space="preserve">TR5</t>
  </si>
  <si>
    <t xml:space="preserve">TR60</t>
  </si>
  <si>
    <t xml:space="preserve">TR70</t>
  </si>
  <si>
    <t xml:space="preserve">TR80</t>
  </si>
  <si>
    <t xml:space="preserve">TR90</t>
  </si>
  <si>
    <t xml:space="preserve">90 mg</t>
  </si>
  <si>
    <t xml:space="preserve">BC5</t>
  </si>
  <si>
    <t xml:space="preserve">BPC-157-5MG</t>
  </si>
  <si>
    <t xml:space="preserve">BPC-157 Research Grade</t>
  </si>
  <si>
    <t xml:space="preserve">KP10</t>
  </si>
  <si>
    <t xml:space="preserve">KPV</t>
  </si>
  <si>
    <t xml:space="preserve">BT5</t>
  </si>
  <si>
    <t xml:space="preserve">RA10</t>
  </si>
  <si>
    <t xml:space="preserve">ARA290 (Cibinetide)</t>
  </si>
  <si>
    <t xml:space="preserve">B12</t>
  </si>
  <si>
    <t xml:space="preserve">(vial)</t>
  </si>
  <si>
    <t xml:space="preserve">CBL60</t>
  </si>
  <si>
    <t xml:space="preserve">Cerebrolysin</t>
  </si>
  <si>
    <t xml:space="preserve">60 ml</t>
  </si>
  <si>
    <t xml:space="preserve">DS10</t>
  </si>
  <si>
    <t xml:space="preserve">DSIP</t>
  </si>
  <si>
    <t xml:space="preserve">DS5</t>
  </si>
  <si>
    <t xml:space="preserve">ET10</t>
  </si>
  <si>
    <t xml:space="preserve">Epithalon</t>
  </si>
  <si>
    <t xml:space="preserve">ET50</t>
  </si>
  <si>
    <t xml:space="preserve">F410</t>
  </si>
  <si>
    <t xml:space="preserve">FOXO4-DRI</t>
  </si>
  <si>
    <t xml:space="preserve">GTT</t>
  </si>
  <si>
    <t xml:space="preserve">Glutathione</t>
  </si>
  <si>
    <t xml:space="preserve">375</t>
  </si>
  <si>
    <t xml:space="preserve">LL37</t>
  </si>
  <si>
    <t xml:space="preserve">MT10</t>
  </si>
  <si>
    <t xml:space="preserve">Melatonin</t>
  </si>
  <si>
    <t xml:space="preserve">NJ100</t>
  </si>
  <si>
    <t xml:space="preserve">NJ1000</t>
  </si>
  <si>
    <t xml:space="preserve">1000 mg</t>
  </si>
  <si>
    <t xml:space="preserve">PN10</t>
  </si>
  <si>
    <t xml:space="preserve">Pinealon</t>
  </si>
  <si>
    <t xml:space="preserve">2S10</t>
  </si>
  <si>
    <t xml:space="preserve">SS-31</t>
  </si>
  <si>
    <t xml:space="preserve">2S50</t>
  </si>
  <si>
    <t xml:space="preserve">SK10</t>
  </si>
  <si>
    <t xml:space="preserve">Selank</t>
  </si>
  <si>
    <t xml:space="preserve">SK5</t>
  </si>
  <si>
    <t xml:space="preserve">XA5</t>
  </si>
  <si>
    <t xml:space="preserve">TY10</t>
  </si>
  <si>
    <t xml:space="preserve">Thymalin</t>
  </si>
  <si>
    <t xml:space="preserve">TA10</t>
  </si>
  <si>
    <t xml:space="preserve">Thymosin Alpha-1</t>
  </si>
  <si>
    <t xml:space="preserve">TA5</t>
  </si>
  <si>
    <t xml:space="preserve">VP10</t>
  </si>
  <si>
    <t xml:space="preserve">VIP</t>
  </si>
  <si>
    <t xml:space="preserve">G10K</t>
  </si>
  <si>
    <t xml:space="preserve">HCG</t>
  </si>
  <si>
    <t xml:space="preserve">10,000 iu</t>
  </si>
  <si>
    <t xml:space="preserve">G5K</t>
  </si>
  <si>
    <t xml:space="preserve">5,000 iu</t>
  </si>
  <si>
    <t xml:space="preserve">KS10</t>
  </si>
  <si>
    <t xml:space="preserve">KissPeptin-10</t>
  </si>
  <si>
    <t xml:space="preserve">KS5</t>
  </si>
  <si>
    <t xml:space="preserve">OT10</t>
  </si>
  <si>
    <t xml:space="preserve">Oxytocin Acetate</t>
  </si>
  <si>
    <t xml:space="preserve">OT5</t>
  </si>
  <si>
    <t xml:space="preserve">AU100</t>
  </si>
  <si>
    <t xml:space="preserve">AHK-CU</t>
  </si>
  <si>
    <t xml:space="preserve">AU</t>
  </si>
  <si>
    <t xml:space="preserve">CU100</t>
  </si>
  <si>
    <t xml:space="preserve">MT1</t>
  </si>
  <si>
    <t xml:space="preserve">MT-1</t>
  </si>
  <si>
    <t xml:space="preserve">NP810</t>
  </si>
  <si>
    <t xml:space="preserve">SNAP-8</t>
  </si>
  <si>
    <t xml:space="preserve">LC600</t>
  </si>
  <si>
    <t xml:space="preserve">The Furnace Stack (L-Carnitine Blend)</t>
  </si>
  <si>
    <t xml:space="preserve">600 mg</t>
  </si>
  <si>
    <t xml:space="preserve">LE10</t>
  </si>
  <si>
    <t xml:space="preserve">The Lipolysis Stack (Lemon Bottle)</t>
  </si>
  <si>
    <t xml:space="preserve">LC10</t>
  </si>
  <si>
    <t xml:space="preserve">The Skinny Shot (Lipo-C Blend)</t>
  </si>
  <si>
    <t xml:space="preserve">BB10</t>
  </si>
  <si>
    <t xml:space="preserve">The Wolverine Stack (BPC 5 + TB 5)</t>
  </si>
  <si>
    <t xml:space="preserve">On-demand SKU count: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</si>
</sst>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766E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F766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FFF"/>
        <bgColor rgb="FFF5F8FA"/>
      </patternFill>
    </fill>
    <fill>
      <patternFill patternType="solid">
        <fgColor rgb="FFF5F8FA"/>
        <bgColor rgb="FFEEF1F4"/>
      </patternFill>
    </fill>
    <fill>
      <patternFill patternType="solid">
        <fgColor rgb="FFE9F7EF"/>
        <bgColor rgb="FFEAF3F2"/>
      </patternFill>
    </fill>
    <fill>
      <patternFill patternType="solid">
        <fgColor rgb="FFFEF3E2"/>
        <bgColor rgb="FFF5F8FA"/>
      </patternFill>
    </fill>
    <fill>
      <patternFill patternType="solid">
        <fgColor rgb="FFEAF3F2"/>
        <bgColor rgb="FFEEF1F4"/>
      </patternFill>
    </fill>
    <fill>
      <patternFill patternType="solid">
        <fgColor rgb="FFEEF1F4"/>
        <bgColor rgb="FFEAF3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E2"/>
      <rgbColor rgb="FFE9F7E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2"/>
      <rgbColor rgb="FFEEF1F4"/>
      <rgbColor rgb="FFF5F8F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4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6" t="s">
        <v>13</v>
      </c>
      <c r="C6" s="5" t="s">
        <v>14</v>
      </c>
      <c r="D6" s="6" t="s">
        <v>15</v>
      </c>
      <c r="E6" s="7" t="n">
        <v>52</v>
      </c>
      <c r="F6" s="8" t="n">
        <v>10</v>
      </c>
      <c r="G6" s="5" t="n">
        <v>5</v>
      </c>
      <c r="H6" s="5" t="n">
        <v>10</v>
      </c>
      <c r="I6" s="9" t="n">
        <f aca="false">E6*F6</f>
        <v>520</v>
      </c>
    </row>
    <row r="7" customFormat="false" ht="15" hidden="false" customHeight="false" outlineLevel="0" collapsed="false">
      <c r="A7" s="10" t="s">
        <v>16</v>
      </c>
      <c r="B7" s="11" t="s">
        <v>17</v>
      </c>
      <c r="C7" s="10" t="s">
        <v>14</v>
      </c>
      <c r="D7" s="11" t="s">
        <v>15</v>
      </c>
      <c r="E7" s="12" t="n">
        <v>52</v>
      </c>
      <c r="F7" s="13" t="n">
        <v>10</v>
      </c>
      <c r="G7" s="10" t="n">
        <v>5</v>
      </c>
      <c r="H7" s="10" t="n">
        <v>10</v>
      </c>
      <c r="I7" s="14" t="n">
        <f aca="false">E7*F7</f>
        <v>520</v>
      </c>
    </row>
    <row r="8" customFormat="false" ht="15" hidden="false" customHeight="false" outlineLevel="0" collapsed="false">
      <c r="A8" s="5" t="s">
        <v>18</v>
      </c>
      <c r="B8" s="6" t="s">
        <v>19</v>
      </c>
      <c r="C8" s="5" t="s">
        <v>14</v>
      </c>
      <c r="D8" s="6" t="s">
        <v>15</v>
      </c>
      <c r="E8" s="7" t="n">
        <v>92</v>
      </c>
      <c r="F8" s="8" t="n">
        <v>10</v>
      </c>
      <c r="G8" s="5" t="n">
        <v>5</v>
      </c>
      <c r="H8" s="5" t="n">
        <v>10</v>
      </c>
      <c r="I8" s="9" t="n">
        <f aca="false">E8*F8</f>
        <v>920</v>
      </c>
    </row>
    <row r="9" customFormat="false" ht="15" hidden="false" customHeight="false" outlineLevel="0" collapsed="false">
      <c r="A9" s="10" t="s">
        <v>20</v>
      </c>
      <c r="B9" s="11" t="s">
        <v>21</v>
      </c>
      <c r="C9" s="10" t="s">
        <v>22</v>
      </c>
      <c r="D9" s="11" t="s">
        <v>15</v>
      </c>
      <c r="E9" s="12" t="n">
        <v>115</v>
      </c>
      <c r="F9" s="13" t="n">
        <v>10</v>
      </c>
      <c r="G9" s="10" t="n">
        <v>5</v>
      </c>
      <c r="H9" s="10" t="n">
        <v>10</v>
      </c>
      <c r="I9" s="14" t="n">
        <f aca="false">E9*F9</f>
        <v>1150</v>
      </c>
    </row>
    <row r="10" customFormat="false" ht="15" hidden="false" customHeight="false" outlineLevel="0" collapsed="false">
      <c r="A10" s="5" t="s">
        <v>23</v>
      </c>
      <c r="B10" s="6" t="s">
        <v>24</v>
      </c>
      <c r="C10" s="5" t="s">
        <v>14</v>
      </c>
      <c r="D10" s="6" t="s">
        <v>15</v>
      </c>
      <c r="E10" s="7" t="n">
        <v>65</v>
      </c>
      <c r="F10" s="8" t="n">
        <v>10</v>
      </c>
      <c r="G10" s="5" t="n">
        <v>5</v>
      </c>
      <c r="H10" s="5" t="n">
        <v>10</v>
      </c>
      <c r="I10" s="9" t="n">
        <f aca="false">E10*F10</f>
        <v>650</v>
      </c>
    </row>
    <row r="11" customFormat="false" ht="15" hidden="false" customHeight="false" outlineLevel="0" collapsed="false">
      <c r="A11" s="10" t="s">
        <v>25</v>
      </c>
      <c r="B11" s="11" t="s">
        <v>26</v>
      </c>
      <c r="C11" s="10" t="s">
        <v>14</v>
      </c>
      <c r="D11" s="11" t="s">
        <v>27</v>
      </c>
      <c r="E11" s="12" t="n">
        <v>66</v>
      </c>
      <c r="F11" s="13" t="n">
        <v>10</v>
      </c>
      <c r="G11" s="10" t="n">
        <v>5</v>
      </c>
      <c r="H11" s="10" t="n">
        <v>10</v>
      </c>
      <c r="I11" s="14" t="n">
        <f aca="false">E11*F11</f>
        <v>660</v>
      </c>
    </row>
    <row r="12" customFormat="false" ht="15" hidden="false" customHeight="false" outlineLevel="0" collapsed="false">
      <c r="A12" s="5" t="s">
        <v>28</v>
      </c>
      <c r="B12" s="6" t="s">
        <v>29</v>
      </c>
      <c r="C12" s="5" t="s">
        <v>14</v>
      </c>
      <c r="D12" s="6" t="s">
        <v>27</v>
      </c>
      <c r="E12" s="7" t="n">
        <v>149</v>
      </c>
      <c r="F12" s="8" t="n">
        <v>10</v>
      </c>
      <c r="G12" s="5" t="n">
        <v>5</v>
      </c>
      <c r="H12" s="5" t="n">
        <v>10</v>
      </c>
      <c r="I12" s="9" t="n">
        <f aca="false">E12*F12</f>
        <v>1490</v>
      </c>
    </row>
    <row r="13" customFormat="false" ht="15" hidden="false" customHeight="false" outlineLevel="0" collapsed="false">
      <c r="A13" s="10" t="s">
        <v>30</v>
      </c>
      <c r="B13" s="11" t="s">
        <v>31</v>
      </c>
      <c r="C13" s="10" t="s">
        <v>14</v>
      </c>
      <c r="D13" s="11" t="s">
        <v>32</v>
      </c>
      <c r="E13" s="12" t="n">
        <v>66</v>
      </c>
      <c r="F13" s="13" t="n">
        <v>10</v>
      </c>
      <c r="G13" s="10" t="n">
        <v>5</v>
      </c>
      <c r="H13" s="10" t="n">
        <v>10</v>
      </c>
      <c r="I13" s="14" t="n">
        <f aca="false">E13*F13</f>
        <v>660</v>
      </c>
    </row>
    <row r="14" customFormat="false" ht="15" hidden="false" customHeight="false" outlineLevel="0" collapsed="false">
      <c r="A14" s="5" t="s">
        <v>33</v>
      </c>
      <c r="B14" s="6" t="s">
        <v>34</v>
      </c>
      <c r="C14" s="5" t="s">
        <v>22</v>
      </c>
      <c r="D14" s="6" t="s">
        <v>32</v>
      </c>
      <c r="E14" s="7" t="n">
        <v>81</v>
      </c>
      <c r="F14" s="8" t="n">
        <v>10</v>
      </c>
      <c r="G14" s="5" t="n">
        <v>5</v>
      </c>
      <c r="H14" s="5" t="n">
        <v>10</v>
      </c>
      <c r="I14" s="9" t="n">
        <f aca="false">E14*F14</f>
        <v>810</v>
      </c>
    </row>
    <row r="15" customFormat="false" ht="15" hidden="false" customHeight="false" outlineLevel="0" collapsed="false">
      <c r="A15" s="10" t="s">
        <v>35</v>
      </c>
      <c r="B15" s="11" t="s">
        <v>36</v>
      </c>
      <c r="C15" s="10" t="s">
        <v>14</v>
      </c>
      <c r="D15" s="11" t="s">
        <v>32</v>
      </c>
      <c r="E15" s="12" t="n">
        <v>168</v>
      </c>
      <c r="F15" s="13" t="n">
        <v>10</v>
      </c>
      <c r="G15" s="10" t="n">
        <v>5</v>
      </c>
      <c r="H15" s="10" t="n">
        <v>10</v>
      </c>
      <c r="I15" s="14" t="n">
        <f aca="false">E15*F15</f>
        <v>1680</v>
      </c>
    </row>
    <row r="16" customFormat="false" ht="15" hidden="false" customHeight="false" outlineLevel="0" collapsed="false">
      <c r="A16" s="5" t="s">
        <v>37</v>
      </c>
      <c r="B16" s="6" t="s">
        <v>38</v>
      </c>
      <c r="C16" s="5" t="s">
        <v>39</v>
      </c>
      <c r="D16" s="6" t="s">
        <v>40</v>
      </c>
      <c r="E16" s="7" t="n">
        <v>31</v>
      </c>
      <c r="F16" s="8" t="n">
        <v>10</v>
      </c>
      <c r="G16" s="5" t="n">
        <v>5</v>
      </c>
      <c r="H16" s="5" t="n">
        <v>10</v>
      </c>
      <c r="I16" s="9" t="n">
        <f aca="false">E16*F16</f>
        <v>310</v>
      </c>
    </row>
    <row r="17" customFormat="false" ht="15" hidden="false" customHeight="false" outlineLevel="0" collapsed="false">
      <c r="A17" s="10" t="s">
        <v>41</v>
      </c>
      <c r="B17" s="11" t="s">
        <v>42</v>
      </c>
      <c r="C17" s="10" t="s">
        <v>43</v>
      </c>
      <c r="D17" s="11" t="s">
        <v>44</v>
      </c>
      <c r="E17" s="12" t="n">
        <v>76</v>
      </c>
      <c r="F17" s="13" t="n">
        <v>10</v>
      </c>
      <c r="G17" s="10" t="n">
        <v>5</v>
      </c>
      <c r="H17" s="10" t="n">
        <v>10</v>
      </c>
      <c r="I17" s="14" t="n">
        <f aca="false">E17*F17</f>
        <v>760</v>
      </c>
    </row>
    <row r="18" customFormat="false" ht="15" hidden="false" customHeight="false" outlineLevel="0" collapsed="false">
      <c r="A18" s="5" t="s">
        <v>45</v>
      </c>
      <c r="B18" s="6" t="s">
        <v>46</v>
      </c>
      <c r="C18" s="5" t="s">
        <v>14</v>
      </c>
      <c r="D18" s="6" t="s">
        <v>32</v>
      </c>
      <c r="E18" s="7" t="n">
        <v>128</v>
      </c>
      <c r="F18" s="8" t="n">
        <v>10</v>
      </c>
      <c r="G18" s="5" t="n">
        <v>5</v>
      </c>
      <c r="H18" s="5" t="n">
        <v>10</v>
      </c>
      <c r="I18" s="9" t="n">
        <f aca="false">E18*F18</f>
        <v>1280</v>
      </c>
    </row>
    <row r="19" customFormat="false" ht="15" hidden="false" customHeight="false" outlineLevel="0" collapsed="false">
      <c r="A19" s="10" t="s">
        <v>47</v>
      </c>
      <c r="B19" s="11" t="s">
        <v>48</v>
      </c>
      <c r="C19" s="10" t="s">
        <v>14</v>
      </c>
      <c r="D19" s="11" t="s">
        <v>44</v>
      </c>
      <c r="E19" s="12" t="n">
        <v>76</v>
      </c>
      <c r="F19" s="13" t="n">
        <v>10</v>
      </c>
      <c r="G19" s="10" t="n">
        <v>5</v>
      </c>
      <c r="H19" s="10" t="n">
        <v>10</v>
      </c>
      <c r="I19" s="14" t="n">
        <f aca="false">E19*F19</f>
        <v>760</v>
      </c>
    </row>
    <row r="20" customFormat="false" ht="15" hidden="false" customHeight="false" outlineLevel="0" collapsed="false">
      <c r="A20" s="5" t="s">
        <v>49</v>
      </c>
      <c r="B20" s="6" t="s">
        <v>50</v>
      </c>
      <c r="C20" s="5" t="s">
        <v>14</v>
      </c>
      <c r="D20" s="6" t="s">
        <v>51</v>
      </c>
      <c r="E20" s="7" t="n">
        <v>64</v>
      </c>
      <c r="F20" s="8" t="n">
        <v>10</v>
      </c>
      <c r="G20" s="5" t="n">
        <v>5</v>
      </c>
      <c r="H20" s="5" t="n">
        <v>10</v>
      </c>
      <c r="I20" s="9" t="n">
        <f aca="false">E20*F20</f>
        <v>640</v>
      </c>
    </row>
    <row r="21" customFormat="false" ht="15" hidden="false" customHeight="false" outlineLevel="0" collapsed="false">
      <c r="A21" s="15" t="s">
        <v>52</v>
      </c>
      <c r="B21" s="16" t="s">
        <v>53</v>
      </c>
      <c r="C21" s="15" t="s">
        <v>54</v>
      </c>
      <c r="D21" s="16" t="s">
        <v>55</v>
      </c>
      <c r="E21" s="17" t="n">
        <v>193</v>
      </c>
      <c r="F21" s="18" t="n">
        <v>10</v>
      </c>
      <c r="G21" s="15" t="n">
        <v>5</v>
      </c>
      <c r="H21" s="15" t="n">
        <v>10</v>
      </c>
      <c r="I21" s="19" t="n">
        <f aca="false">E21*F21</f>
        <v>1930</v>
      </c>
    </row>
    <row r="22" customFormat="false" ht="15" hidden="false" customHeight="false" outlineLevel="0" collapsed="false">
      <c r="A22" s="15" t="s">
        <v>56</v>
      </c>
      <c r="B22" s="16" t="s">
        <v>57</v>
      </c>
      <c r="C22" s="15" t="s">
        <v>58</v>
      </c>
      <c r="D22" s="16" t="s">
        <v>55</v>
      </c>
      <c r="E22" s="17" t="n">
        <v>188</v>
      </c>
      <c r="F22" s="18" t="n">
        <v>10</v>
      </c>
      <c r="G22" s="15" t="n">
        <v>5</v>
      </c>
      <c r="H22" s="15" t="n">
        <v>10</v>
      </c>
      <c r="I22" s="19" t="n">
        <f aca="false">E22*F22</f>
        <v>1880</v>
      </c>
    </row>
    <row r="23" customFormat="false" ht="15" hidden="false" customHeight="false" outlineLevel="0" collapsed="false">
      <c r="A23" s="15" t="s">
        <v>59</v>
      </c>
      <c r="B23" s="16" t="s">
        <v>60</v>
      </c>
      <c r="C23" s="15" t="s">
        <v>61</v>
      </c>
      <c r="D23" s="16" t="s">
        <v>55</v>
      </c>
      <c r="E23" s="17" t="n">
        <v>192</v>
      </c>
      <c r="F23" s="18" t="n">
        <v>10</v>
      </c>
      <c r="G23" s="15" t="n">
        <v>5</v>
      </c>
      <c r="H23" s="15" t="n">
        <v>10</v>
      </c>
      <c r="I23" s="19" t="n">
        <f aca="false">E23*F23</f>
        <v>1920</v>
      </c>
    </row>
    <row r="24" customFormat="false" ht="15" hidden="false" customHeight="false" outlineLevel="0" collapsed="false">
      <c r="A24" s="15" t="s">
        <v>62</v>
      </c>
      <c r="B24" s="16" t="s">
        <v>63</v>
      </c>
      <c r="C24" s="15" t="s">
        <v>64</v>
      </c>
      <c r="D24" s="16" t="s">
        <v>55</v>
      </c>
      <c r="E24" s="17" t="n">
        <v>215</v>
      </c>
      <c r="F24" s="18" t="n">
        <v>10</v>
      </c>
      <c r="G24" s="15" t="n">
        <v>5</v>
      </c>
      <c r="H24" s="15" t="n">
        <v>10</v>
      </c>
      <c r="I24" s="19" t="n">
        <f aca="false">E24*F24</f>
        <v>2150</v>
      </c>
    </row>
    <row r="25" customFormat="false" ht="15" hidden="false" customHeight="false" outlineLevel="0" collapsed="false">
      <c r="A25" s="15" t="s">
        <v>65</v>
      </c>
      <c r="B25" s="16" t="s">
        <v>66</v>
      </c>
      <c r="C25" s="15" t="s">
        <v>58</v>
      </c>
      <c r="D25" s="16" t="s">
        <v>55</v>
      </c>
      <c r="E25" s="17" t="n">
        <v>150</v>
      </c>
      <c r="F25" s="18" t="n">
        <v>10</v>
      </c>
      <c r="G25" s="15" t="n">
        <v>5</v>
      </c>
      <c r="H25" s="15" t="n">
        <v>10</v>
      </c>
      <c r="I25" s="19" t="n">
        <f aca="false">E25*F25</f>
        <v>1500</v>
      </c>
    </row>
    <row r="26" customFormat="false" ht="15" hidden="false" customHeight="false" outlineLevel="0" collapsed="false">
      <c r="A26" s="20" t="s">
        <v>67</v>
      </c>
      <c r="B26" s="21" t="s">
        <v>68</v>
      </c>
      <c r="C26" s="20" t="s">
        <v>69</v>
      </c>
      <c r="D26" s="21" t="s">
        <v>70</v>
      </c>
      <c r="E26" s="22" t="n">
        <v>14</v>
      </c>
      <c r="F26" s="23" t="n">
        <v>150</v>
      </c>
      <c r="G26" s="20" t="n">
        <v>60</v>
      </c>
      <c r="H26" s="20" t="n">
        <v>50</v>
      </c>
      <c r="I26" s="24" t="n">
        <f aca="false">E26*F26</f>
        <v>2100</v>
      </c>
    </row>
    <row r="27" customFormat="false" ht="15" hidden="false" customHeight="false" outlineLevel="0" collapsed="false">
      <c r="A27" s="20" t="s">
        <v>71</v>
      </c>
      <c r="B27" s="21" t="s">
        <v>68</v>
      </c>
      <c r="C27" s="20" t="s">
        <v>72</v>
      </c>
      <c r="D27" s="21" t="s">
        <v>70</v>
      </c>
      <c r="E27" s="22" t="n">
        <v>22</v>
      </c>
      <c r="F27" s="23" t="n">
        <v>60</v>
      </c>
      <c r="G27" s="20" t="n">
        <v>20</v>
      </c>
      <c r="H27" s="20" t="n">
        <v>20</v>
      </c>
      <c r="I27" s="24" t="n">
        <f aca="false">E27*F27</f>
        <v>1320</v>
      </c>
    </row>
    <row r="28" customFormat="false" ht="15" hidden="false" customHeight="false" outlineLevel="0" collapsed="false">
      <c r="A28" s="20" t="s">
        <v>73</v>
      </c>
      <c r="B28" s="21" t="s">
        <v>74</v>
      </c>
      <c r="C28" s="20" t="s">
        <v>72</v>
      </c>
      <c r="D28" s="21" t="s">
        <v>70</v>
      </c>
      <c r="E28" s="22" t="n">
        <v>11</v>
      </c>
      <c r="F28" s="23" t="n">
        <v>20</v>
      </c>
      <c r="G28" s="20" t="n">
        <v>10</v>
      </c>
      <c r="H28" s="20" t="n">
        <v>10</v>
      </c>
      <c r="I28" s="24" t="n">
        <f aca="false">E28*F28</f>
        <v>220</v>
      </c>
    </row>
    <row r="30" customFormat="false" ht="15" hidden="false" customHeight="false" outlineLevel="0" collapsed="false">
      <c r="D30" s="25" t="s">
        <v>75</v>
      </c>
      <c r="E30" s="26"/>
      <c r="F30" s="27" t="n">
        <f aca="false">SUM(F6:F28)</f>
        <v>430</v>
      </c>
      <c r="G30" s="26"/>
      <c r="H30" s="28" t="s">
        <v>76</v>
      </c>
      <c r="I30" s="29" t="n">
        <f aca="false">SUM(I6:I28)</f>
        <v>25830</v>
      </c>
    </row>
    <row r="32" customFormat="false" ht="15" hidden="false" customHeight="false" outlineLevel="0" collapsed="false">
      <c r="B32" s="30" t="s">
        <v>77</v>
      </c>
      <c r="E32" s="31" t="n">
        <v>20</v>
      </c>
    </row>
    <row r="33" customFormat="false" ht="15" hidden="false" customHeight="false" outlineLevel="0" collapsed="false">
      <c r="B33" s="30" t="s">
        <v>78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5"/>
    <col collapsed="false" customWidth="true" hidden="false" outlineLevel="0" max="5" min="5" style="0" width="11"/>
  </cols>
  <sheetData>
    <row r="1" customFormat="false" ht="22.05" hidden="false" customHeight="false" outlineLevel="0" collapsed="false">
      <c r="A1" s="1" t="s">
        <v>79</v>
      </c>
      <c r="B1" s="1"/>
      <c r="C1" s="1"/>
      <c r="D1" s="1"/>
      <c r="E1" s="1"/>
    </row>
    <row r="2" customFormat="false" ht="51.75" hidden="false" customHeight="true" outlineLevel="0" collapsed="false">
      <c r="A2" s="3" t="s">
        <v>80</v>
      </c>
      <c r="B2" s="3"/>
      <c r="C2" s="3"/>
      <c r="D2" s="3"/>
      <c r="E2" s="3"/>
    </row>
    <row r="4" customFormat="false" ht="15" hidden="false" customHeight="false" outlineLevel="0" collapsed="false">
      <c r="A4" s="32" t="s">
        <v>3</v>
      </c>
      <c r="B4" s="32" t="s">
        <v>4</v>
      </c>
      <c r="C4" s="32" t="s">
        <v>5</v>
      </c>
      <c r="D4" s="32" t="s">
        <v>6</v>
      </c>
      <c r="E4" s="32" t="s">
        <v>7</v>
      </c>
    </row>
    <row r="5" customFormat="false" ht="15" hidden="false" customHeight="false" outlineLevel="0" collapsed="false">
      <c r="A5" s="5" t="s">
        <v>81</v>
      </c>
      <c r="B5" s="6" t="s">
        <v>82</v>
      </c>
      <c r="C5" s="5" t="s">
        <v>22</v>
      </c>
      <c r="D5" s="6" t="s">
        <v>32</v>
      </c>
      <c r="E5" s="9" t="n">
        <v>145</v>
      </c>
    </row>
    <row r="6" customFormat="false" ht="15" hidden="false" customHeight="false" outlineLevel="0" collapsed="false">
      <c r="A6" s="33" t="s">
        <v>83</v>
      </c>
      <c r="B6" s="34" t="s">
        <v>34</v>
      </c>
      <c r="C6" s="33" t="s">
        <v>14</v>
      </c>
      <c r="D6" s="34" t="s">
        <v>32</v>
      </c>
      <c r="E6" s="35" t="n">
        <v>143</v>
      </c>
    </row>
    <row r="7" customFormat="false" ht="15" hidden="false" customHeight="false" outlineLevel="0" collapsed="false">
      <c r="A7" s="5" t="s">
        <v>84</v>
      </c>
      <c r="B7" s="6" t="s">
        <v>85</v>
      </c>
      <c r="C7" s="5" t="s">
        <v>86</v>
      </c>
      <c r="D7" s="6" t="s">
        <v>32</v>
      </c>
      <c r="E7" s="9" t="n">
        <v>229</v>
      </c>
    </row>
    <row r="8" customFormat="false" ht="15" hidden="false" customHeight="false" outlineLevel="0" collapsed="false">
      <c r="A8" s="33" t="s">
        <v>87</v>
      </c>
      <c r="B8" s="34" t="s">
        <v>88</v>
      </c>
      <c r="C8" s="33" t="s">
        <v>14</v>
      </c>
      <c r="D8" s="34" t="s">
        <v>32</v>
      </c>
      <c r="E8" s="35" t="n">
        <v>46</v>
      </c>
    </row>
    <row r="9" customFormat="false" ht="15" hidden="false" customHeight="false" outlineLevel="0" collapsed="false">
      <c r="A9" s="5" t="s">
        <v>89</v>
      </c>
      <c r="B9" s="6" t="s">
        <v>88</v>
      </c>
      <c r="C9" s="5" t="s">
        <v>22</v>
      </c>
      <c r="D9" s="6" t="s">
        <v>32</v>
      </c>
      <c r="E9" s="9" t="n">
        <v>26</v>
      </c>
    </row>
    <row r="10" customFormat="false" ht="15" hidden="false" customHeight="false" outlineLevel="0" collapsed="false">
      <c r="A10" s="33" t="s">
        <v>90</v>
      </c>
      <c r="B10" s="34" t="s">
        <v>91</v>
      </c>
      <c r="C10" s="33" t="s">
        <v>14</v>
      </c>
      <c r="D10" s="34" t="s">
        <v>32</v>
      </c>
      <c r="E10" s="35" t="n">
        <v>46</v>
      </c>
    </row>
    <row r="11" customFormat="false" ht="15" hidden="false" customHeight="false" outlineLevel="0" collapsed="false">
      <c r="A11" s="5" t="s">
        <v>92</v>
      </c>
      <c r="B11" s="6" t="s">
        <v>91</v>
      </c>
      <c r="C11" s="5" t="s">
        <v>22</v>
      </c>
      <c r="D11" s="6" t="s">
        <v>32</v>
      </c>
      <c r="E11" s="9" t="n">
        <v>26</v>
      </c>
    </row>
    <row r="12" customFormat="false" ht="15" hidden="false" customHeight="false" outlineLevel="0" collapsed="false">
      <c r="A12" s="33" t="s">
        <v>93</v>
      </c>
      <c r="B12" s="34" t="s">
        <v>94</v>
      </c>
      <c r="C12" s="33" t="s">
        <v>22</v>
      </c>
      <c r="D12" s="34" t="s">
        <v>32</v>
      </c>
      <c r="E12" s="35" t="n">
        <v>94</v>
      </c>
    </row>
    <row r="13" customFormat="false" ht="15" hidden="false" customHeight="false" outlineLevel="0" collapsed="false">
      <c r="A13" s="5" t="s">
        <v>95</v>
      </c>
      <c r="B13" s="6" t="s">
        <v>96</v>
      </c>
      <c r="C13" s="5" t="s">
        <v>97</v>
      </c>
      <c r="D13" s="6" t="s">
        <v>32</v>
      </c>
      <c r="E13" s="9" t="n">
        <v>58</v>
      </c>
    </row>
    <row r="14" customFormat="false" ht="15" hidden="false" customHeight="false" outlineLevel="0" collapsed="false">
      <c r="A14" s="33" t="s">
        <v>98</v>
      </c>
      <c r="B14" s="34" t="s">
        <v>99</v>
      </c>
      <c r="C14" s="33" t="s">
        <v>22</v>
      </c>
      <c r="D14" s="34" t="s">
        <v>32</v>
      </c>
      <c r="E14" s="35" t="n">
        <v>81</v>
      </c>
    </row>
    <row r="15" customFormat="false" ht="15" hidden="false" customHeight="false" outlineLevel="0" collapsed="false">
      <c r="A15" s="5" t="s">
        <v>100</v>
      </c>
      <c r="B15" s="6" t="s">
        <v>101</v>
      </c>
      <c r="C15" s="5" t="s">
        <v>102</v>
      </c>
      <c r="D15" s="6" t="s">
        <v>32</v>
      </c>
      <c r="E15" s="9" t="n">
        <v>41</v>
      </c>
    </row>
    <row r="16" customFormat="false" ht="15" hidden="false" customHeight="false" outlineLevel="0" collapsed="false">
      <c r="A16" s="33" t="s">
        <v>103</v>
      </c>
      <c r="B16" s="34" t="s">
        <v>101</v>
      </c>
      <c r="C16" s="33" t="s">
        <v>86</v>
      </c>
      <c r="D16" s="34" t="s">
        <v>32</v>
      </c>
      <c r="E16" s="35" t="n">
        <v>188</v>
      </c>
    </row>
    <row r="17" customFormat="false" ht="15" hidden="false" customHeight="false" outlineLevel="0" collapsed="false">
      <c r="A17" s="5" t="s">
        <v>104</v>
      </c>
      <c r="B17" s="6" t="s">
        <v>31</v>
      </c>
      <c r="C17" s="5" t="s">
        <v>22</v>
      </c>
      <c r="D17" s="6" t="s">
        <v>32</v>
      </c>
      <c r="E17" s="9" t="n">
        <v>39</v>
      </c>
    </row>
    <row r="18" customFormat="false" ht="15" hidden="false" customHeight="false" outlineLevel="0" collapsed="false">
      <c r="A18" s="33" t="s">
        <v>105</v>
      </c>
      <c r="B18" s="34" t="s">
        <v>46</v>
      </c>
      <c r="C18" s="33" t="s">
        <v>22</v>
      </c>
      <c r="D18" s="34" t="s">
        <v>32</v>
      </c>
      <c r="E18" s="35" t="n">
        <v>68</v>
      </c>
    </row>
    <row r="19" customFormat="false" ht="15" hidden="false" customHeight="false" outlineLevel="0" collapsed="false">
      <c r="A19" s="5" t="s">
        <v>106</v>
      </c>
      <c r="B19" s="6" t="s">
        <v>36</v>
      </c>
      <c r="C19" s="5" t="s">
        <v>107</v>
      </c>
      <c r="D19" s="6" t="s">
        <v>32</v>
      </c>
      <c r="E19" s="9" t="n">
        <v>325</v>
      </c>
    </row>
    <row r="20" customFormat="false" ht="15" hidden="false" customHeight="false" outlineLevel="0" collapsed="false">
      <c r="A20" s="33" t="s">
        <v>108</v>
      </c>
      <c r="B20" s="34" t="s">
        <v>36</v>
      </c>
      <c r="C20" s="33" t="s">
        <v>22</v>
      </c>
      <c r="D20" s="34" t="s">
        <v>32</v>
      </c>
      <c r="E20" s="35" t="n">
        <v>98</v>
      </c>
    </row>
    <row r="21" customFormat="false" ht="15" hidden="false" customHeight="false" outlineLevel="0" collapsed="false">
      <c r="A21" s="5" t="s">
        <v>109</v>
      </c>
      <c r="B21" s="6" t="s">
        <v>110</v>
      </c>
      <c r="C21" s="5" t="s">
        <v>22</v>
      </c>
      <c r="D21" s="6" t="s">
        <v>15</v>
      </c>
      <c r="E21" s="9" t="n">
        <v>51</v>
      </c>
    </row>
    <row r="22" customFormat="false" ht="15" hidden="false" customHeight="false" outlineLevel="0" collapsed="false">
      <c r="A22" s="33" t="s">
        <v>111</v>
      </c>
      <c r="B22" s="34" t="s">
        <v>110</v>
      </c>
      <c r="C22" s="33" t="s">
        <v>39</v>
      </c>
      <c r="D22" s="34" t="s">
        <v>15</v>
      </c>
      <c r="E22" s="35" t="n">
        <v>76</v>
      </c>
    </row>
    <row r="23" customFormat="false" ht="15" hidden="false" customHeight="false" outlineLevel="0" collapsed="false">
      <c r="A23" s="5" t="s">
        <v>112</v>
      </c>
      <c r="B23" s="6" t="s">
        <v>113</v>
      </c>
      <c r="C23" s="5" t="s">
        <v>39</v>
      </c>
      <c r="D23" s="6" t="s">
        <v>15</v>
      </c>
      <c r="E23" s="9" t="n">
        <v>67</v>
      </c>
    </row>
    <row r="24" customFormat="false" ht="15" hidden="false" customHeight="false" outlineLevel="0" collapsed="false">
      <c r="A24" s="33" t="s">
        <v>114</v>
      </c>
      <c r="B24" s="34" t="s">
        <v>115</v>
      </c>
      <c r="C24" s="33" t="s">
        <v>14</v>
      </c>
      <c r="D24" s="34" t="s">
        <v>15</v>
      </c>
      <c r="E24" s="35" t="n">
        <v>170</v>
      </c>
    </row>
    <row r="25" customFormat="false" ht="15" hidden="false" customHeight="false" outlineLevel="0" collapsed="false">
      <c r="A25" s="5" t="s">
        <v>116</v>
      </c>
      <c r="B25" s="6" t="s">
        <v>115</v>
      </c>
      <c r="C25" s="5" t="s">
        <v>22</v>
      </c>
      <c r="D25" s="6" t="s">
        <v>15</v>
      </c>
      <c r="E25" s="9" t="n">
        <v>93</v>
      </c>
    </row>
    <row r="26" customFormat="false" ht="15" hidden="false" customHeight="false" outlineLevel="0" collapsed="false">
      <c r="A26" s="33" t="s">
        <v>117</v>
      </c>
      <c r="B26" s="34" t="s">
        <v>21</v>
      </c>
      <c r="C26" s="33" t="s">
        <v>14</v>
      </c>
      <c r="D26" s="34" t="s">
        <v>15</v>
      </c>
      <c r="E26" s="35" t="n">
        <v>217</v>
      </c>
    </row>
    <row r="27" customFormat="false" ht="15" hidden="false" customHeight="false" outlineLevel="0" collapsed="false">
      <c r="A27" s="5" t="s">
        <v>118</v>
      </c>
      <c r="B27" s="6" t="s">
        <v>24</v>
      </c>
      <c r="C27" s="5" t="s">
        <v>119</v>
      </c>
      <c r="D27" s="6" t="s">
        <v>15</v>
      </c>
      <c r="E27" s="9" t="n">
        <v>220</v>
      </c>
    </row>
    <row r="28" customFormat="false" ht="15" hidden="false" customHeight="false" outlineLevel="0" collapsed="false">
      <c r="A28" s="33" t="s">
        <v>120</v>
      </c>
      <c r="B28" s="34" t="s">
        <v>19</v>
      </c>
      <c r="C28" s="33" t="s">
        <v>121</v>
      </c>
      <c r="D28" s="34" t="s">
        <v>15</v>
      </c>
      <c r="E28" s="35" t="n">
        <v>105</v>
      </c>
    </row>
    <row r="29" customFormat="false" ht="15" hidden="false" customHeight="false" outlineLevel="0" collapsed="false">
      <c r="A29" s="5" t="s">
        <v>122</v>
      </c>
      <c r="B29" s="6" t="s">
        <v>19</v>
      </c>
      <c r="C29" s="5" t="s">
        <v>107</v>
      </c>
      <c r="D29" s="6" t="s">
        <v>15</v>
      </c>
      <c r="E29" s="9" t="n">
        <v>118</v>
      </c>
    </row>
    <row r="30" customFormat="false" ht="15" hidden="false" customHeight="false" outlineLevel="0" collapsed="false">
      <c r="A30" s="33" t="s">
        <v>123</v>
      </c>
      <c r="B30" s="34" t="s">
        <v>19</v>
      </c>
      <c r="C30" s="33" t="s">
        <v>124</v>
      </c>
      <c r="D30" s="34" t="s">
        <v>15</v>
      </c>
      <c r="E30" s="35" t="n">
        <v>170</v>
      </c>
    </row>
    <row r="31" customFormat="false" ht="15" hidden="false" customHeight="false" outlineLevel="0" collapsed="false">
      <c r="A31" s="5" t="s">
        <v>125</v>
      </c>
      <c r="B31" s="6" t="s">
        <v>19</v>
      </c>
      <c r="C31" s="5" t="s">
        <v>119</v>
      </c>
      <c r="D31" s="6" t="s">
        <v>15</v>
      </c>
      <c r="E31" s="9" t="n">
        <v>223</v>
      </c>
    </row>
    <row r="32" customFormat="false" ht="15" hidden="false" customHeight="false" outlineLevel="0" collapsed="false">
      <c r="A32" s="33" t="s">
        <v>126</v>
      </c>
      <c r="B32" s="34" t="s">
        <v>19</v>
      </c>
      <c r="C32" s="33" t="s">
        <v>22</v>
      </c>
      <c r="D32" s="34" t="s">
        <v>15</v>
      </c>
      <c r="E32" s="35" t="n">
        <v>65</v>
      </c>
    </row>
    <row r="33" customFormat="false" ht="15" hidden="false" customHeight="false" outlineLevel="0" collapsed="false">
      <c r="A33" s="5" t="s">
        <v>127</v>
      </c>
      <c r="B33" s="6" t="s">
        <v>19</v>
      </c>
      <c r="C33" s="5" t="s">
        <v>39</v>
      </c>
      <c r="D33" s="6" t="s">
        <v>15</v>
      </c>
      <c r="E33" s="9" t="n">
        <v>249</v>
      </c>
    </row>
    <row r="34" customFormat="false" ht="15" hidden="false" customHeight="false" outlineLevel="0" collapsed="false">
      <c r="A34" s="33" t="s">
        <v>128</v>
      </c>
      <c r="B34" s="34" t="s">
        <v>19</v>
      </c>
      <c r="C34" s="33" t="s">
        <v>129</v>
      </c>
      <c r="D34" s="34" t="s">
        <v>15</v>
      </c>
      <c r="E34" s="35" t="n">
        <v>301</v>
      </c>
    </row>
    <row r="35" customFormat="false" ht="15" hidden="false" customHeight="false" outlineLevel="0" collapsed="false">
      <c r="A35" s="5" t="s">
        <v>130</v>
      </c>
      <c r="B35" s="6" t="s">
        <v>17</v>
      </c>
      <c r="C35" s="5" t="s">
        <v>121</v>
      </c>
      <c r="D35" s="6" t="s">
        <v>15</v>
      </c>
      <c r="E35" s="9" t="n">
        <v>60</v>
      </c>
    </row>
    <row r="36" customFormat="false" ht="15" hidden="false" customHeight="false" outlineLevel="0" collapsed="false">
      <c r="A36" s="33" t="s">
        <v>131</v>
      </c>
      <c r="B36" s="34" t="s">
        <v>17</v>
      </c>
      <c r="C36" s="33" t="s">
        <v>107</v>
      </c>
      <c r="D36" s="34" t="s">
        <v>15</v>
      </c>
      <c r="E36" s="35" t="n">
        <v>73</v>
      </c>
    </row>
    <row r="37" customFormat="false" ht="15" hidden="false" customHeight="false" outlineLevel="0" collapsed="false">
      <c r="A37" s="5" t="s">
        <v>132</v>
      </c>
      <c r="B37" s="6" t="s">
        <v>17</v>
      </c>
      <c r="C37" s="5" t="s">
        <v>124</v>
      </c>
      <c r="D37" s="6" t="s">
        <v>15</v>
      </c>
      <c r="E37" s="9" t="n">
        <v>92</v>
      </c>
    </row>
    <row r="38" customFormat="false" ht="15" hidden="false" customHeight="false" outlineLevel="0" collapsed="false">
      <c r="A38" s="33" t="s">
        <v>133</v>
      </c>
      <c r="B38" s="34" t="s">
        <v>17</v>
      </c>
      <c r="C38" s="33" t="s">
        <v>22</v>
      </c>
      <c r="D38" s="34" t="s">
        <v>15</v>
      </c>
      <c r="E38" s="35" t="n">
        <v>36</v>
      </c>
    </row>
    <row r="39" customFormat="false" ht="15" hidden="false" customHeight="false" outlineLevel="0" collapsed="false">
      <c r="A39" s="5" t="s">
        <v>134</v>
      </c>
      <c r="B39" s="6" t="s">
        <v>135</v>
      </c>
      <c r="C39" s="5" t="s">
        <v>14</v>
      </c>
      <c r="D39" s="6" t="s">
        <v>15</v>
      </c>
      <c r="E39" s="9" t="n">
        <v>280</v>
      </c>
    </row>
    <row r="40" customFormat="false" ht="15" hidden="false" customHeight="false" outlineLevel="0" collapsed="false">
      <c r="A40" s="33" t="s">
        <v>136</v>
      </c>
      <c r="B40" s="34" t="s">
        <v>13</v>
      </c>
      <c r="C40" s="33" t="s">
        <v>137</v>
      </c>
      <c r="D40" s="34" t="s">
        <v>15</v>
      </c>
      <c r="E40" s="35" t="n">
        <v>267</v>
      </c>
    </row>
    <row r="41" customFormat="false" ht="15" hidden="false" customHeight="false" outlineLevel="0" collapsed="false">
      <c r="A41" s="5" t="s">
        <v>138</v>
      </c>
      <c r="B41" s="6" t="s">
        <v>13</v>
      </c>
      <c r="C41" s="5" t="s">
        <v>139</v>
      </c>
      <c r="D41" s="6" t="s">
        <v>15</v>
      </c>
      <c r="E41" s="9" t="n">
        <v>293</v>
      </c>
    </row>
    <row r="42" customFormat="false" ht="15" hidden="false" customHeight="false" outlineLevel="0" collapsed="false">
      <c r="A42" s="33" t="s">
        <v>140</v>
      </c>
      <c r="B42" s="34" t="s">
        <v>13</v>
      </c>
      <c r="C42" s="33" t="s">
        <v>121</v>
      </c>
      <c r="D42" s="34" t="s">
        <v>15</v>
      </c>
      <c r="E42" s="35" t="n">
        <v>69</v>
      </c>
    </row>
    <row r="43" customFormat="false" ht="15" hidden="false" customHeight="false" outlineLevel="0" collapsed="false">
      <c r="A43" s="5" t="s">
        <v>141</v>
      </c>
      <c r="B43" s="6" t="s">
        <v>13</v>
      </c>
      <c r="C43" s="5" t="s">
        <v>107</v>
      </c>
      <c r="D43" s="6" t="s">
        <v>15</v>
      </c>
      <c r="E43" s="9" t="n">
        <v>78</v>
      </c>
    </row>
    <row r="44" customFormat="false" ht="15" hidden="false" customHeight="false" outlineLevel="0" collapsed="false">
      <c r="A44" s="33" t="s">
        <v>142</v>
      </c>
      <c r="B44" s="34" t="s">
        <v>13</v>
      </c>
      <c r="C44" s="33" t="s">
        <v>124</v>
      </c>
      <c r="D44" s="34" t="s">
        <v>15</v>
      </c>
      <c r="E44" s="35" t="n">
        <v>92</v>
      </c>
    </row>
    <row r="45" customFormat="false" ht="15" hidden="false" customHeight="false" outlineLevel="0" collapsed="false">
      <c r="A45" s="5" t="s">
        <v>143</v>
      </c>
      <c r="B45" s="6" t="s">
        <v>13</v>
      </c>
      <c r="C45" s="5" t="s">
        <v>119</v>
      </c>
      <c r="D45" s="6" t="s">
        <v>15</v>
      </c>
      <c r="E45" s="9" t="n">
        <v>118</v>
      </c>
    </row>
    <row r="46" customFormat="false" ht="15" hidden="false" customHeight="false" outlineLevel="0" collapsed="false">
      <c r="A46" s="33" t="s">
        <v>144</v>
      </c>
      <c r="B46" s="34" t="s">
        <v>13</v>
      </c>
      <c r="C46" s="33" t="s">
        <v>22</v>
      </c>
      <c r="D46" s="34" t="s">
        <v>15</v>
      </c>
      <c r="E46" s="35" t="n">
        <v>40</v>
      </c>
    </row>
    <row r="47" customFormat="false" ht="15" hidden="false" customHeight="false" outlineLevel="0" collapsed="false">
      <c r="A47" s="5" t="s">
        <v>145</v>
      </c>
      <c r="B47" s="6" t="s">
        <v>13</v>
      </c>
      <c r="C47" s="5" t="s">
        <v>129</v>
      </c>
      <c r="D47" s="6" t="s">
        <v>15</v>
      </c>
      <c r="E47" s="9" t="n">
        <v>165</v>
      </c>
    </row>
    <row r="48" customFormat="false" ht="15" hidden="false" customHeight="false" outlineLevel="0" collapsed="false">
      <c r="A48" s="33" t="s">
        <v>146</v>
      </c>
      <c r="B48" s="34" t="s">
        <v>13</v>
      </c>
      <c r="C48" s="33" t="s">
        <v>61</v>
      </c>
      <c r="D48" s="34" t="s">
        <v>15</v>
      </c>
      <c r="E48" s="35" t="n">
        <v>189</v>
      </c>
    </row>
    <row r="49" customFormat="false" ht="15" hidden="false" customHeight="false" outlineLevel="0" collapsed="false">
      <c r="A49" s="5" t="s">
        <v>147</v>
      </c>
      <c r="B49" s="6" t="s">
        <v>13</v>
      </c>
      <c r="C49" s="5" t="s">
        <v>64</v>
      </c>
      <c r="D49" s="6" t="s">
        <v>15</v>
      </c>
      <c r="E49" s="9" t="n">
        <v>214</v>
      </c>
    </row>
    <row r="50" customFormat="false" ht="15" hidden="false" customHeight="false" outlineLevel="0" collapsed="false">
      <c r="A50" s="33" t="s">
        <v>148</v>
      </c>
      <c r="B50" s="34" t="s">
        <v>13</v>
      </c>
      <c r="C50" s="33" t="s">
        <v>149</v>
      </c>
      <c r="D50" s="34" t="s">
        <v>15</v>
      </c>
      <c r="E50" s="35" t="n">
        <v>241</v>
      </c>
    </row>
    <row r="51" customFormat="false" ht="15" hidden="false" customHeight="false" outlineLevel="0" collapsed="false">
      <c r="A51" s="5" t="s">
        <v>150</v>
      </c>
      <c r="B51" s="6" t="s">
        <v>26</v>
      </c>
      <c r="C51" s="5" t="s">
        <v>22</v>
      </c>
      <c r="D51" s="6" t="s">
        <v>27</v>
      </c>
      <c r="E51" s="9" t="n">
        <v>38</v>
      </c>
    </row>
    <row r="52" customFormat="false" ht="15" hidden="false" customHeight="false" outlineLevel="0" collapsed="false">
      <c r="A52" s="33" t="s">
        <v>151</v>
      </c>
      <c r="B52" s="34" t="s">
        <v>152</v>
      </c>
      <c r="C52" s="33" t="s">
        <v>22</v>
      </c>
      <c r="D52" s="34" t="s">
        <v>27</v>
      </c>
      <c r="E52" s="35" t="n">
        <v>15</v>
      </c>
    </row>
    <row r="53" customFormat="false" ht="15" hidden="false" customHeight="false" outlineLevel="0" collapsed="false">
      <c r="A53" s="5" t="s">
        <v>153</v>
      </c>
      <c r="B53" s="6" t="s">
        <v>154</v>
      </c>
      <c r="C53" s="5" t="s">
        <v>14</v>
      </c>
      <c r="D53" s="6" t="s">
        <v>27</v>
      </c>
      <c r="E53" s="9" t="n">
        <v>68</v>
      </c>
    </row>
    <row r="54" customFormat="false" ht="15" hidden="false" customHeight="false" outlineLevel="0" collapsed="false">
      <c r="A54" s="33" t="s">
        <v>155</v>
      </c>
      <c r="B54" s="34" t="s">
        <v>29</v>
      </c>
      <c r="C54" s="33" t="s">
        <v>22</v>
      </c>
      <c r="D54" s="34" t="s">
        <v>27</v>
      </c>
      <c r="E54" s="35" t="n">
        <v>78</v>
      </c>
    </row>
    <row r="55" customFormat="false" ht="15" hidden="false" customHeight="false" outlineLevel="0" collapsed="false">
      <c r="A55" s="5" t="s">
        <v>156</v>
      </c>
      <c r="B55" s="6" t="s">
        <v>157</v>
      </c>
      <c r="C55" s="5" t="s">
        <v>14</v>
      </c>
      <c r="D55" s="6" t="s">
        <v>44</v>
      </c>
      <c r="E55" s="9" t="n">
        <v>68</v>
      </c>
    </row>
    <row r="56" customFormat="false" ht="15" hidden="false" customHeight="false" outlineLevel="0" collapsed="false">
      <c r="A56" s="33" t="s">
        <v>158</v>
      </c>
      <c r="B56" s="34" t="s">
        <v>158</v>
      </c>
      <c r="C56" s="33" t="s">
        <v>159</v>
      </c>
      <c r="D56" s="34" t="s">
        <v>44</v>
      </c>
      <c r="E56" s="35" t="n">
        <v>15</v>
      </c>
    </row>
    <row r="57" customFormat="false" ht="15" hidden="false" customHeight="false" outlineLevel="0" collapsed="false">
      <c r="A57" s="5" t="s">
        <v>160</v>
      </c>
      <c r="B57" s="6" t="s">
        <v>161</v>
      </c>
      <c r="C57" s="5" t="s">
        <v>162</v>
      </c>
      <c r="D57" s="6" t="s">
        <v>44</v>
      </c>
      <c r="E57" s="9" t="n">
        <v>50</v>
      </c>
    </row>
    <row r="58" customFormat="false" ht="15" hidden="false" customHeight="false" outlineLevel="0" collapsed="false">
      <c r="A58" s="33" t="s">
        <v>163</v>
      </c>
      <c r="B58" s="34" t="s">
        <v>164</v>
      </c>
      <c r="C58" s="33" t="s">
        <v>14</v>
      </c>
      <c r="D58" s="34" t="s">
        <v>44</v>
      </c>
      <c r="E58" s="35" t="n">
        <v>81</v>
      </c>
    </row>
    <row r="59" customFormat="false" ht="15" hidden="false" customHeight="false" outlineLevel="0" collapsed="false">
      <c r="A59" s="5" t="s">
        <v>165</v>
      </c>
      <c r="B59" s="6" t="s">
        <v>164</v>
      </c>
      <c r="C59" s="5" t="s">
        <v>22</v>
      </c>
      <c r="D59" s="6" t="s">
        <v>44</v>
      </c>
      <c r="E59" s="9" t="n">
        <v>44</v>
      </c>
    </row>
    <row r="60" customFormat="false" ht="15" hidden="false" customHeight="false" outlineLevel="0" collapsed="false">
      <c r="A60" s="33" t="s">
        <v>166</v>
      </c>
      <c r="B60" s="34" t="s">
        <v>167</v>
      </c>
      <c r="C60" s="33" t="s">
        <v>14</v>
      </c>
      <c r="D60" s="34" t="s">
        <v>44</v>
      </c>
      <c r="E60" s="35" t="n">
        <v>38</v>
      </c>
    </row>
    <row r="61" customFormat="false" ht="15" hidden="false" customHeight="false" outlineLevel="0" collapsed="false">
      <c r="A61" s="5" t="s">
        <v>168</v>
      </c>
      <c r="B61" s="6" t="s">
        <v>167</v>
      </c>
      <c r="C61" s="5" t="s">
        <v>39</v>
      </c>
      <c r="D61" s="6" t="s">
        <v>44</v>
      </c>
      <c r="E61" s="9" t="n">
        <v>149</v>
      </c>
    </row>
    <row r="62" customFormat="false" ht="15" hidden="false" customHeight="false" outlineLevel="0" collapsed="false">
      <c r="A62" s="33" t="s">
        <v>169</v>
      </c>
      <c r="B62" s="34" t="s">
        <v>170</v>
      </c>
      <c r="C62" s="33" t="s">
        <v>14</v>
      </c>
      <c r="D62" s="34" t="s">
        <v>44</v>
      </c>
      <c r="E62" s="35" t="n">
        <v>315</v>
      </c>
    </row>
    <row r="63" customFormat="false" ht="15" hidden="false" customHeight="false" outlineLevel="0" collapsed="false">
      <c r="A63" s="5" t="s">
        <v>171</v>
      </c>
      <c r="B63" s="6" t="s">
        <v>172</v>
      </c>
      <c r="C63" s="5" t="s">
        <v>14</v>
      </c>
      <c r="D63" s="6" t="s">
        <v>44</v>
      </c>
      <c r="E63" s="9" t="n">
        <v>100</v>
      </c>
    </row>
    <row r="64" customFormat="false" ht="15" hidden="false" customHeight="false" outlineLevel="0" collapsed="false">
      <c r="A64" s="33" t="s">
        <v>173</v>
      </c>
      <c r="B64" s="34" t="s">
        <v>174</v>
      </c>
      <c r="C64" s="33" t="s">
        <v>22</v>
      </c>
      <c r="D64" s="34" t="s">
        <v>44</v>
      </c>
      <c r="E64" s="35" t="n">
        <v>93</v>
      </c>
    </row>
    <row r="65" customFormat="false" ht="15" hidden="false" customHeight="false" outlineLevel="0" collapsed="false">
      <c r="A65" s="5" t="s">
        <v>175</v>
      </c>
      <c r="B65" s="6" t="s">
        <v>176</v>
      </c>
      <c r="C65" s="5" t="s">
        <v>14</v>
      </c>
      <c r="D65" s="6" t="s">
        <v>44</v>
      </c>
      <c r="E65" s="9" t="n">
        <v>62</v>
      </c>
    </row>
    <row r="66" customFormat="false" ht="15" hidden="false" customHeight="false" outlineLevel="0" collapsed="false">
      <c r="A66" s="33" t="s">
        <v>177</v>
      </c>
      <c r="B66" s="34" t="s">
        <v>42</v>
      </c>
      <c r="C66" s="33" t="s">
        <v>137</v>
      </c>
      <c r="D66" s="34" t="s">
        <v>44</v>
      </c>
      <c r="E66" s="35" t="n">
        <v>39</v>
      </c>
    </row>
    <row r="67" customFormat="false" ht="15" hidden="false" customHeight="false" outlineLevel="0" collapsed="false">
      <c r="A67" s="5" t="s">
        <v>178</v>
      </c>
      <c r="B67" s="6" t="s">
        <v>42</v>
      </c>
      <c r="C67" s="5" t="s">
        <v>179</v>
      </c>
      <c r="D67" s="6" t="s">
        <v>44</v>
      </c>
      <c r="E67" s="9" t="n">
        <v>147</v>
      </c>
    </row>
    <row r="68" customFormat="false" ht="15" hidden="false" customHeight="false" outlineLevel="0" collapsed="false">
      <c r="A68" s="33" t="s">
        <v>180</v>
      </c>
      <c r="B68" s="34" t="s">
        <v>181</v>
      </c>
      <c r="C68" s="33" t="s">
        <v>14</v>
      </c>
      <c r="D68" s="34" t="s">
        <v>44</v>
      </c>
      <c r="E68" s="35" t="n">
        <v>70</v>
      </c>
    </row>
    <row r="69" customFormat="false" ht="15" hidden="false" customHeight="false" outlineLevel="0" collapsed="false">
      <c r="A69" s="5" t="s">
        <v>182</v>
      </c>
      <c r="B69" s="6" t="s">
        <v>183</v>
      </c>
      <c r="C69" s="5" t="s">
        <v>14</v>
      </c>
      <c r="D69" s="6" t="s">
        <v>44</v>
      </c>
      <c r="E69" s="9" t="n">
        <v>92</v>
      </c>
    </row>
    <row r="70" customFormat="false" ht="15" hidden="false" customHeight="false" outlineLevel="0" collapsed="false">
      <c r="A70" s="33" t="s">
        <v>184</v>
      </c>
      <c r="B70" s="34" t="s">
        <v>183</v>
      </c>
      <c r="C70" s="33" t="s">
        <v>39</v>
      </c>
      <c r="D70" s="34" t="s">
        <v>44</v>
      </c>
      <c r="E70" s="35" t="n">
        <v>365</v>
      </c>
    </row>
    <row r="71" customFormat="false" ht="15" hidden="false" customHeight="false" outlineLevel="0" collapsed="false">
      <c r="A71" s="5" t="s">
        <v>185</v>
      </c>
      <c r="B71" s="6" t="s">
        <v>186</v>
      </c>
      <c r="C71" s="5" t="s">
        <v>14</v>
      </c>
      <c r="D71" s="6" t="s">
        <v>44</v>
      </c>
      <c r="E71" s="9" t="n">
        <v>76</v>
      </c>
    </row>
    <row r="72" customFormat="false" ht="15" hidden="false" customHeight="false" outlineLevel="0" collapsed="false">
      <c r="A72" s="33" t="s">
        <v>187</v>
      </c>
      <c r="B72" s="34" t="s">
        <v>186</v>
      </c>
      <c r="C72" s="33" t="s">
        <v>22</v>
      </c>
      <c r="D72" s="34" t="s">
        <v>44</v>
      </c>
      <c r="E72" s="35" t="n">
        <v>51</v>
      </c>
    </row>
    <row r="73" customFormat="false" ht="15" hidden="false" customHeight="false" outlineLevel="0" collapsed="false">
      <c r="A73" s="5" t="s">
        <v>188</v>
      </c>
      <c r="B73" s="6" t="s">
        <v>48</v>
      </c>
      <c r="C73" s="5" t="s">
        <v>22</v>
      </c>
      <c r="D73" s="6" t="s">
        <v>44</v>
      </c>
      <c r="E73" s="9" t="n">
        <v>51</v>
      </c>
    </row>
    <row r="74" customFormat="false" ht="15" hidden="false" customHeight="false" outlineLevel="0" collapsed="false">
      <c r="A74" s="33" t="s">
        <v>189</v>
      </c>
      <c r="B74" s="34" t="s">
        <v>190</v>
      </c>
      <c r="C74" s="33" t="s">
        <v>14</v>
      </c>
      <c r="D74" s="34" t="s">
        <v>44</v>
      </c>
      <c r="E74" s="35" t="n">
        <v>66</v>
      </c>
    </row>
    <row r="75" customFormat="false" ht="15" hidden="false" customHeight="false" outlineLevel="0" collapsed="false">
      <c r="A75" s="5" t="s">
        <v>191</v>
      </c>
      <c r="B75" s="6" t="s">
        <v>192</v>
      </c>
      <c r="C75" s="5" t="s">
        <v>14</v>
      </c>
      <c r="D75" s="6" t="s">
        <v>44</v>
      </c>
      <c r="E75" s="9" t="n">
        <v>158</v>
      </c>
    </row>
    <row r="76" customFormat="false" ht="15" hidden="false" customHeight="false" outlineLevel="0" collapsed="false">
      <c r="A76" s="33" t="s">
        <v>193</v>
      </c>
      <c r="B76" s="34" t="s">
        <v>192</v>
      </c>
      <c r="C76" s="33" t="s">
        <v>22</v>
      </c>
      <c r="D76" s="34" t="s">
        <v>44</v>
      </c>
      <c r="E76" s="35" t="n">
        <v>92</v>
      </c>
    </row>
    <row r="77" customFormat="false" ht="15" hidden="false" customHeight="false" outlineLevel="0" collapsed="false">
      <c r="A77" s="5" t="s">
        <v>194</v>
      </c>
      <c r="B77" s="6" t="s">
        <v>195</v>
      </c>
      <c r="C77" s="5" t="s">
        <v>14</v>
      </c>
      <c r="D77" s="6" t="s">
        <v>44</v>
      </c>
      <c r="E77" s="9" t="n">
        <v>167</v>
      </c>
    </row>
    <row r="78" customFormat="false" ht="15" hidden="false" customHeight="false" outlineLevel="0" collapsed="false">
      <c r="A78" s="33" t="s">
        <v>196</v>
      </c>
      <c r="B78" s="34" t="s">
        <v>197</v>
      </c>
      <c r="C78" s="33" t="s">
        <v>198</v>
      </c>
      <c r="D78" s="34" t="s">
        <v>51</v>
      </c>
      <c r="E78" s="35" t="n">
        <v>139</v>
      </c>
    </row>
    <row r="79" customFormat="false" ht="15" hidden="false" customHeight="false" outlineLevel="0" collapsed="false">
      <c r="A79" s="5" t="s">
        <v>199</v>
      </c>
      <c r="B79" s="6" t="s">
        <v>197</v>
      </c>
      <c r="C79" s="5" t="s">
        <v>200</v>
      </c>
      <c r="D79" s="6" t="s">
        <v>51</v>
      </c>
      <c r="E79" s="9" t="n">
        <v>76</v>
      </c>
    </row>
    <row r="80" customFormat="false" ht="15" hidden="false" customHeight="false" outlineLevel="0" collapsed="false">
      <c r="A80" s="33" t="s">
        <v>201</v>
      </c>
      <c r="B80" s="34" t="s">
        <v>202</v>
      </c>
      <c r="C80" s="33" t="s">
        <v>14</v>
      </c>
      <c r="D80" s="34" t="s">
        <v>51</v>
      </c>
      <c r="E80" s="35" t="n">
        <v>101</v>
      </c>
    </row>
    <row r="81" customFormat="false" ht="15" hidden="false" customHeight="false" outlineLevel="0" collapsed="false">
      <c r="A81" s="5" t="s">
        <v>203</v>
      </c>
      <c r="B81" s="6" t="s">
        <v>202</v>
      </c>
      <c r="C81" s="5" t="s">
        <v>22</v>
      </c>
      <c r="D81" s="6" t="s">
        <v>51</v>
      </c>
      <c r="E81" s="9" t="n">
        <v>65</v>
      </c>
    </row>
    <row r="82" customFormat="false" ht="15" hidden="false" customHeight="false" outlineLevel="0" collapsed="false">
      <c r="A82" s="33" t="s">
        <v>204</v>
      </c>
      <c r="B82" s="34" t="s">
        <v>205</v>
      </c>
      <c r="C82" s="33" t="s">
        <v>14</v>
      </c>
      <c r="D82" s="34" t="s">
        <v>51</v>
      </c>
      <c r="E82" s="35" t="n">
        <v>64</v>
      </c>
    </row>
    <row r="83" customFormat="false" ht="15" hidden="false" customHeight="false" outlineLevel="0" collapsed="false">
      <c r="A83" s="5" t="s">
        <v>206</v>
      </c>
      <c r="B83" s="6" t="s">
        <v>205</v>
      </c>
      <c r="C83" s="5" t="s">
        <v>22</v>
      </c>
      <c r="D83" s="6" t="s">
        <v>51</v>
      </c>
      <c r="E83" s="9" t="n">
        <v>46</v>
      </c>
    </row>
    <row r="84" customFormat="false" ht="15" hidden="false" customHeight="false" outlineLevel="0" collapsed="false">
      <c r="A84" s="33" t="s">
        <v>207</v>
      </c>
      <c r="B84" s="34" t="s">
        <v>208</v>
      </c>
      <c r="C84" s="33" t="s">
        <v>137</v>
      </c>
      <c r="D84" s="34" t="s">
        <v>40</v>
      </c>
      <c r="E84" s="35" t="n">
        <v>56</v>
      </c>
    </row>
    <row r="85" customFormat="false" ht="15" hidden="false" customHeight="false" outlineLevel="0" collapsed="false">
      <c r="A85" s="5" t="s">
        <v>209</v>
      </c>
      <c r="B85" s="6" t="s">
        <v>208</v>
      </c>
      <c r="C85" s="5" t="s">
        <v>39</v>
      </c>
      <c r="D85" s="6" t="s">
        <v>40</v>
      </c>
      <c r="E85" s="9" t="n">
        <v>31</v>
      </c>
    </row>
    <row r="86" customFormat="false" ht="15" hidden="false" customHeight="false" outlineLevel="0" collapsed="false">
      <c r="A86" s="33" t="s">
        <v>210</v>
      </c>
      <c r="B86" s="34" t="s">
        <v>38</v>
      </c>
      <c r="C86" s="33" t="s">
        <v>137</v>
      </c>
      <c r="D86" s="34" t="s">
        <v>40</v>
      </c>
      <c r="E86" s="35" t="n">
        <v>56</v>
      </c>
    </row>
    <row r="87" customFormat="false" ht="15" hidden="false" customHeight="false" outlineLevel="0" collapsed="false">
      <c r="A87" s="5" t="s">
        <v>211</v>
      </c>
      <c r="B87" s="6" t="s">
        <v>212</v>
      </c>
      <c r="C87" s="5" t="s">
        <v>14</v>
      </c>
      <c r="D87" s="6" t="s">
        <v>40</v>
      </c>
      <c r="E87" s="9" t="n">
        <v>51</v>
      </c>
    </row>
    <row r="88" customFormat="false" ht="15" hidden="false" customHeight="false" outlineLevel="0" collapsed="false">
      <c r="A88" s="33" t="s">
        <v>213</v>
      </c>
      <c r="B88" s="34" t="s">
        <v>214</v>
      </c>
      <c r="C88" s="33" t="s">
        <v>14</v>
      </c>
      <c r="D88" s="34" t="s">
        <v>40</v>
      </c>
      <c r="E88" s="35" t="n">
        <v>41</v>
      </c>
    </row>
    <row r="89" customFormat="false" ht="15" hidden="false" customHeight="false" outlineLevel="0" collapsed="false">
      <c r="A89" s="5" t="s">
        <v>215</v>
      </c>
      <c r="B89" s="6" t="s">
        <v>216</v>
      </c>
      <c r="C89" s="5" t="s">
        <v>217</v>
      </c>
      <c r="D89" s="6" t="s">
        <v>55</v>
      </c>
      <c r="E89" s="9" t="n">
        <v>41</v>
      </c>
    </row>
    <row r="90" customFormat="false" ht="15" hidden="false" customHeight="false" outlineLevel="0" collapsed="false">
      <c r="A90" s="33" t="s">
        <v>218</v>
      </c>
      <c r="B90" s="34" t="s">
        <v>219</v>
      </c>
      <c r="C90" s="33" t="s">
        <v>72</v>
      </c>
      <c r="D90" s="34" t="s">
        <v>55</v>
      </c>
      <c r="E90" s="35" t="n">
        <v>74</v>
      </c>
    </row>
    <row r="91" customFormat="false" ht="15" hidden="false" customHeight="false" outlineLevel="0" collapsed="false">
      <c r="A91" s="5" t="s">
        <v>220</v>
      </c>
      <c r="B91" s="6" t="s">
        <v>221</v>
      </c>
      <c r="C91" s="5" t="s">
        <v>72</v>
      </c>
      <c r="D91" s="6" t="s">
        <v>55</v>
      </c>
      <c r="E91" s="9" t="n">
        <v>65</v>
      </c>
    </row>
    <row r="92" customFormat="false" ht="15" hidden="false" customHeight="false" outlineLevel="0" collapsed="false">
      <c r="A92" s="33" t="s">
        <v>222</v>
      </c>
      <c r="B92" s="34" t="s">
        <v>223</v>
      </c>
      <c r="C92" s="33" t="s">
        <v>58</v>
      </c>
      <c r="D92" s="34" t="s">
        <v>55</v>
      </c>
      <c r="E92" s="35" t="n">
        <v>114</v>
      </c>
    </row>
    <row r="94" customFormat="false" ht="15" hidden="false" customHeight="false" outlineLevel="0" collapsed="false">
      <c r="B94" s="30" t="s">
        <v>224</v>
      </c>
      <c r="E94" s="31" t="n">
        <f aca="false">COUNTA(A5:A92)</f>
        <v>88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2026-07-13T18:21:20Z</dcterms:created>
  <dc:creator>openpyxl</dc:creator>
  <dc:description/>
  <dc:language>en-US</dc:language>
  <cp:lastModifiedBy/>
  <dcterms:modified xsi:type="dcterms:W3CDTF">2026-07-13T18:21:20Z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